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sandipbo_in_ibm_com/Documents/bob/"/>
    </mc:Choice>
  </mc:AlternateContent>
  <xr:revisionPtr revIDLastSave="0" documentId="8_{1012503C-162E-4282-96AB-03C4215E6045}" xr6:coauthVersionLast="47" xr6:coauthVersionMax="47" xr10:uidLastSave="{00000000-0000-0000-0000-000000000000}"/>
  <bookViews>
    <workbookView xWindow="-110" yWindow="-110" windowWidth="19420" windowHeight="10300" activeTab="1" xr2:uid="{D7CFD513-5B9F-4F85-9415-EFAD6202CBE3}"/>
  </bookViews>
  <sheets>
    <sheet name="patient_schema" sheetId="1" r:id="rId1"/>
    <sheet name="Appointment_schem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N2" i="1"/>
  <c r="Y2" i="1"/>
  <c r="N3" i="1"/>
  <c r="Y3" i="1"/>
  <c r="N4" i="1"/>
  <c r="Y4" i="1"/>
  <c r="N5" i="1"/>
  <c r="Y5" i="1"/>
  <c r="N6" i="1"/>
  <c r="Y6" i="1"/>
</calcChain>
</file>

<file path=xl/sharedStrings.xml><?xml version="1.0" encoding="utf-8"?>
<sst xmlns="http://schemas.openxmlformats.org/spreadsheetml/2006/main" count="392" uniqueCount="317">
  <si>
    <t>patient_id</t>
  </si>
  <si>
    <t>identifier_type</t>
  </si>
  <si>
    <t>identifier_value</t>
  </si>
  <si>
    <t>given_name</t>
  </si>
  <si>
    <t>family_name</t>
  </si>
  <si>
    <t>additional_name</t>
  </si>
  <si>
    <t>birth_date</t>
  </si>
  <si>
    <t>gender</t>
  </si>
  <si>
    <t>street_address</t>
  </si>
  <si>
    <t>city</t>
  </si>
  <si>
    <t>state</t>
  </si>
  <si>
    <t>postal_code</t>
  </si>
  <si>
    <t>country</t>
  </si>
  <si>
    <t>telephone</t>
  </si>
  <si>
    <t>email</t>
  </si>
  <si>
    <t>blood_type</t>
  </si>
  <si>
    <t>height_value</t>
  </si>
  <si>
    <t>height_unit</t>
  </si>
  <si>
    <t>weight_value</t>
  </si>
  <si>
    <t>weight_unit</t>
  </si>
  <si>
    <t>medical_conditions</t>
  </si>
  <si>
    <t>medications</t>
  </si>
  <si>
    <t>allergies</t>
  </si>
  <si>
    <t>emergency_contact_name</t>
  </si>
  <si>
    <t>emergency_contact_phone</t>
  </si>
  <si>
    <t>emergency_contact_relationship</t>
  </si>
  <si>
    <t>insurance_provider</t>
  </si>
  <si>
    <t>primary_care_physician</t>
  </si>
  <si>
    <t>date_created</t>
  </si>
  <si>
    <t>date_modified</t>
  </si>
  <si>
    <t>PAT-1001</t>
  </si>
  <si>
    <t>MRN</t>
  </si>
  <si>
    <t>MRN-1001</t>
  </si>
  <si>
    <t>Rahul</t>
  </si>
  <si>
    <t>Sharma</t>
  </si>
  <si>
    <t>Kumar</t>
  </si>
  <si>
    <t>Male</t>
  </si>
  <si>
    <t>45 Park Street</t>
  </si>
  <si>
    <t>Kolkata</t>
  </si>
  <si>
    <t>West Bengal</t>
  </si>
  <si>
    <t>IN</t>
  </si>
  <si>
    <t>rahul.sharma@example.com</t>
  </si>
  <si>
    <t>B+</t>
  </si>
  <si>
    <t>cm</t>
  </si>
  <si>
    <t>kg</t>
  </si>
  <si>
    <t>Hypertension; Type 2 Diabetes</t>
  </si>
  <si>
    <t>Metformin 500mg; Amlodipine 5mg</t>
  </si>
  <si>
    <t>Penicillin; Dust</t>
  </si>
  <si>
    <t>Priya Sharma</t>
  </si>
  <si>
    <t>Spouse</t>
  </si>
  <si>
    <t>Star Health Insurance</t>
  </si>
  <si>
    <t>Dr. Amit Sen</t>
  </si>
  <si>
    <t>2025-01-10T09:30:00Z</t>
  </si>
  <si>
    <t>2026-05-10T11:20:00Z</t>
  </si>
  <si>
    <t>PAT-1002</t>
  </si>
  <si>
    <t>Insurance ID</t>
  </si>
  <si>
    <t>INS-882211</t>
  </si>
  <si>
    <t>Sneha</t>
  </si>
  <si>
    <t>Mukherjee</t>
  </si>
  <si>
    <t>Rani</t>
  </si>
  <si>
    <t>Female</t>
  </si>
  <si>
    <t>221 Salt Lake Sector V</t>
  </si>
  <si>
    <t>sneha.mukherjee@example.com</t>
  </si>
  <si>
    <t>A-</t>
  </si>
  <si>
    <t>Asthma</t>
  </si>
  <si>
    <t>Salbutamol Inhaler</t>
  </si>
  <si>
    <t>Pollen</t>
  </si>
  <si>
    <t>Sourav Mukherjee</t>
  </si>
  <si>
    <t>Brother</t>
  </si>
  <si>
    <t>ICICI Lombard</t>
  </si>
  <si>
    <t>Dr. Nandita Roy</t>
  </si>
  <si>
    <t>2025-02-15T13:10:00Z</t>
  </si>
  <si>
    <t>2026-04-22T16:45:00Z</t>
  </si>
  <si>
    <t>PAT-1003</t>
  </si>
  <si>
    <t>SSN</t>
  </si>
  <si>
    <t>SSN-778899</t>
  </si>
  <si>
    <t>Arjun</t>
  </si>
  <si>
    <t>Banerjee</t>
  </si>
  <si>
    <t>Dev</t>
  </si>
  <si>
    <t>89 MG Road</t>
  </si>
  <si>
    <t>Bengaluru</t>
  </si>
  <si>
    <t>Karnataka</t>
  </si>
  <si>
    <t>arjun.banerjee@example.com</t>
  </si>
  <si>
    <t>O+</t>
  </si>
  <si>
    <t>High Cholesterol; Coronary Artery Disease</t>
  </si>
  <si>
    <t>Atorvastatin 20mg; Aspirin 75mg</t>
  </si>
  <si>
    <t>Shellfish</t>
  </si>
  <si>
    <t>Meera Banerjee</t>
  </si>
  <si>
    <t>Wife</t>
  </si>
  <si>
    <t>HDFC ERGO</t>
  </si>
  <si>
    <t>Dr. Rajiv Menon</t>
  </si>
  <si>
    <t>2024-09-20T08:15:00Z</t>
  </si>
  <si>
    <t>2026-05-01T10:10:00Z</t>
  </si>
  <si>
    <t>PAT-1004</t>
  </si>
  <si>
    <t>MRN-1004</t>
  </si>
  <si>
    <t>Ananya</t>
  </si>
  <si>
    <t>Das</t>
  </si>
  <si>
    <t>Marie</t>
  </si>
  <si>
    <t>14 Lake View Road</t>
  </si>
  <si>
    <t>Mumbai</t>
  </si>
  <si>
    <t>Maharashtra</t>
  </si>
  <si>
    <t>ananya.das@example.com</t>
  </si>
  <si>
    <t>AB+</t>
  </si>
  <si>
    <t>Migraine; Anxiety</t>
  </si>
  <si>
    <t>Sumatriptan 50mg; Escitalopram 10mg</t>
  </si>
  <si>
    <t>Latex; Dairy</t>
  </si>
  <si>
    <t>Ritika Das</t>
  </si>
  <si>
    <t>Mother</t>
  </si>
  <si>
    <t>Max Bupa</t>
  </si>
  <si>
    <t>Dr. Kavita Shah</t>
  </si>
  <si>
    <t>2025-03-01T12:00:00Z</t>
  </si>
  <si>
    <t>2026-05-05T09:45:00Z</t>
  </si>
  <si>
    <t>PAT-1005</t>
  </si>
  <si>
    <t>INS-991122</t>
  </si>
  <si>
    <t>Vikram</t>
  </si>
  <si>
    <t>Singh</t>
  </si>
  <si>
    <t>Raj</t>
  </si>
  <si>
    <t>77 Residency Road</t>
  </si>
  <si>
    <t>Delhi</t>
  </si>
  <si>
    <t>vikram.singh@example.com</t>
  </si>
  <si>
    <t>A+</t>
  </si>
  <si>
    <t>Arthritis; Hypertension</t>
  </si>
  <si>
    <t>Ibuprofen 400mg; Losartan 50mg</t>
  </si>
  <si>
    <t>Peanuts</t>
  </si>
  <si>
    <t>Neha Singh</t>
  </si>
  <si>
    <t>Daughter</t>
  </si>
  <si>
    <t>New India Assurance</t>
  </si>
  <si>
    <t>Dr. Pankaj Verma</t>
  </si>
  <si>
    <t>2024-11-11T07:25:00Z</t>
  </si>
  <si>
    <t>2026-04-30T14:20:00Z</t>
  </si>
  <si>
    <t>appointment_id</t>
  </si>
  <si>
    <t>appointment_identifier_type</t>
  </si>
  <si>
    <t>appointment_identifier_value</t>
  </si>
  <si>
    <t>appointment_type</t>
  </si>
  <si>
    <t>status</t>
  </si>
  <si>
    <t>cancellation_reason</t>
  </si>
  <si>
    <t>service_category</t>
  </si>
  <si>
    <t>service_type</t>
  </si>
  <si>
    <t>specialty</t>
  </si>
  <si>
    <t>patient_name</t>
  </si>
  <si>
    <t>patient_phone</t>
  </si>
  <si>
    <t>patient_email</t>
  </si>
  <si>
    <t>practitioner_name</t>
  </si>
  <si>
    <t>practitioner_specialty</t>
  </si>
  <si>
    <t>organization_name</t>
  </si>
  <si>
    <t>location_name</t>
  </si>
  <si>
    <t>location_address</t>
  </si>
  <si>
    <t>start_time</t>
  </si>
  <si>
    <t>end_time</t>
  </si>
  <si>
    <t>duration</t>
  </si>
  <si>
    <t>minutes_duration</t>
  </si>
  <si>
    <t>appointment_mode</t>
  </si>
  <si>
    <t>virtual_service_url</t>
  </si>
  <si>
    <t>priority</t>
  </si>
  <si>
    <t>description</t>
  </si>
  <si>
    <t>patient_instruction</t>
  </si>
  <si>
    <t>reason_code</t>
  </si>
  <si>
    <t>reason_condition</t>
  </si>
  <si>
    <t>previous_appointment_id</t>
  </si>
  <si>
    <t>slot</t>
  </si>
  <si>
    <t>requested_period</t>
  </si>
  <si>
    <t>check_in_time</t>
  </si>
  <si>
    <t>check_out_time</t>
  </si>
  <si>
    <t>wait_time</t>
  </si>
  <si>
    <t>reminder_sent</t>
  </si>
  <si>
    <t>reminder_date</t>
  </si>
  <si>
    <t>confirmation_status</t>
  </si>
  <si>
    <t>insurance_verified</t>
  </si>
  <si>
    <t>copay_amount</t>
  </si>
  <si>
    <t>currency</t>
  </si>
  <si>
    <t>estimated_cost</t>
  </si>
  <si>
    <t>payment_status</t>
  </si>
  <si>
    <t>follow_up_required</t>
  </si>
  <si>
    <t>follow_up_date</t>
  </si>
  <si>
    <t>outcome</t>
  </si>
  <si>
    <t>comment</t>
  </si>
  <si>
    <t>note</t>
  </si>
  <si>
    <t>APT-5001</t>
  </si>
  <si>
    <t>Appointment ID</t>
  </si>
  <si>
    <t>Follow-up</t>
  </si>
  <si>
    <t>Booked</t>
  </si>
  <si>
    <t>Cardiology</t>
  </si>
  <si>
    <t>Cardiac Follow-up Consultation</t>
  </si>
  <si>
    <t>Rahul Sharma</t>
  </si>
  <si>
    <t>Medicity Hospital</t>
  </si>
  <si>
    <t>Medicity Hospital - Cardiology Wing</t>
  </si>
  <si>
    <t>45 EM Bypass, Kolkata</t>
  </si>
  <si>
    <t>2026-05-20T10:00:00Z</t>
  </si>
  <si>
    <t>2026-05-20T10:30:00Z</t>
  </si>
  <si>
    <t>PT30M</t>
  </si>
  <si>
    <t>In-Person</t>
  </si>
  <si>
    <t>Review blood pressure and diabetes medication</t>
  </si>
  <si>
    <t>Arrive 15 minutes early; Bring previous prescriptions</t>
  </si>
  <si>
    <t>I10</t>
  </si>
  <si>
    <t>Hypertension</t>
  </si>
  <si>
    <t>APT-4901</t>
  </si>
  <si>
    <t>SLOT-101</t>
  </si>
  <si>
    <t>2026-05-20 Morning</t>
  </si>
  <si>
    <t>2026-05-20T09:50:00Z</t>
  </si>
  <si>
    <t>2026-05-20T10:40:00Z</t>
  </si>
  <si>
    <t>PT10M</t>
  </si>
  <si>
    <t>2026-05-18T09:00:00Z</t>
  </si>
  <si>
    <t>Confirmed</t>
  </si>
  <si>
    <t>INR</t>
  </si>
  <si>
    <t>Pending</t>
  </si>
  <si>
    <t>Medication adjusted</t>
  </si>
  <si>
    <t>Patient prefers morning appointments</t>
  </si>
  <si>
    <t>Blood pressure stable. Continue monitoring glucose.</t>
  </si>
  <si>
    <t>2026-05-01T08:00:00Z</t>
  </si>
  <si>
    <t>APT-5002</t>
  </si>
  <si>
    <t>Routine Check-up</t>
  </si>
  <si>
    <t>Fulfilled</t>
  </si>
  <si>
    <t>Pulmonology</t>
  </si>
  <si>
    <t>Asthma Review</t>
  </si>
  <si>
    <t>Sneha Mukherjee</t>
  </si>
  <si>
    <t>Apollo Clinic</t>
  </si>
  <si>
    <t>Apollo Clinic Salt Lake</t>
  </si>
  <si>
    <t>Sector V, Kolkata</t>
  </si>
  <si>
    <t>2026-04-22T14:00:00Z</t>
  </si>
  <si>
    <t>2026-04-22T14:20:00Z</t>
  </si>
  <si>
    <t>PT20M</t>
  </si>
  <si>
    <t>Video Call</t>
  </si>
  <si>
    <t>https://telemed.example.com/meet/APT5002</t>
  </si>
  <si>
    <t>Routine asthma management consultation</t>
  </si>
  <si>
    <t>Keep inhaler nearby during consultation</t>
  </si>
  <si>
    <t>J45</t>
  </si>
  <si>
    <t>APT-4802</t>
  </si>
  <si>
    <t>SLOT-205</t>
  </si>
  <si>
    <t>2026-04-22 Afternoon</t>
  </si>
  <si>
    <t>2026-04-22T13:55:00Z</t>
  </si>
  <si>
    <t>2026-04-22T14:25:00Z</t>
  </si>
  <si>
    <t>PT5M</t>
  </si>
  <si>
    <t>2026-04-21T10:00:00Z</t>
  </si>
  <si>
    <t>Paid</t>
  </si>
  <si>
    <t>Symptoms controlled</t>
  </si>
  <si>
    <t>Patient requested teleconsultation</t>
  </si>
  <si>
    <t>Continue current inhaler dosage.</t>
  </si>
  <si>
    <t>2026-04-10T10:10:00Z</t>
  </si>
  <si>
    <t>APT-5003</t>
  </si>
  <si>
    <t>Procedure</t>
  </si>
  <si>
    <t>Checked In</t>
  </si>
  <si>
    <t>ECG and Cholesterol Screening</t>
  </si>
  <si>
    <t>Arjun Banerjee</t>
  </si>
  <si>
    <t>Fortis Hospital</t>
  </si>
  <si>
    <t>Fortis Cardiac Center</t>
  </si>
  <si>
    <t>Bannerghatta Road, Bengaluru</t>
  </si>
  <si>
    <t>2026-05-14T08:30:00Z</t>
  </si>
  <si>
    <t>2026-05-14T09:15:00Z</t>
  </si>
  <si>
    <t>PT45M</t>
  </si>
  <si>
    <t>Cardiac assessment and lipid profile review</t>
  </si>
  <si>
    <t>Fast for 8 hours before appointment</t>
  </si>
  <si>
    <t>E78</t>
  </si>
  <si>
    <t>High Cholesterol</t>
  </si>
  <si>
    <t>APT-4701</t>
  </si>
  <si>
    <t>SLOT-301</t>
  </si>
  <si>
    <t>2026-05-14 Morning</t>
  </si>
  <si>
    <t>2026-05-14T08:20:00Z</t>
  </si>
  <si>
    <t>PT15M</t>
  </si>
  <si>
    <t>2026-05-12T08:00:00Z</t>
  </si>
  <si>
    <t>Tests in progress</t>
  </si>
  <si>
    <t>Patient advised dietary changes</t>
  </si>
  <si>
    <t>ECG scheduled before physician review.</t>
  </si>
  <si>
    <t>2026-05-02T12:30:00Z</t>
  </si>
  <si>
    <t>2026-05-12T17:00:00Z</t>
  </si>
  <si>
    <t>APT-5004</t>
  </si>
  <si>
    <t>Therapy Session</t>
  </si>
  <si>
    <t>Cancelled</t>
  </si>
  <si>
    <t>Patient unavailable</t>
  </si>
  <si>
    <t>Neurology</t>
  </si>
  <si>
    <t>Migraine Counseling</t>
  </si>
  <si>
    <t>Ananya Das</t>
  </si>
  <si>
    <t>Max Healthcare</t>
  </si>
  <si>
    <t>Max Neuro Clinic</t>
  </si>
  <si>
    <t>Andheri West, Mumbai</t>
  </si>
  <si>
    <t>2026-05-18T16:00:00Z</t>
  </si>
  <si>
    <t>2026-05-18T16:45:00Z</t>
  </si>
  <si>
    <t>Phone Call</t>
  </si>
  <si>
    <t>Counseling session for migraine and anxiety management</t>
  </si>
  <si>
    <t>Ensure quiet environment for call</t>
  </si>
  <si>
    <t>G43</t>
  </si>
  <si>
    <t>Migraine</t>
  </si>
  <si>
    <t>APT-4604</t>
  </si>
  <si>
    <t>SLOT-402</t>
  </si>
  <si>
    <t>2026-05-18 Evening</t>
  </si>
  <si>
    <t>2026-05-16T11:00:00Z</t>
  </si>
  <si>
    <t>Refunded</t>
  </si>
  <si>
    <t>Appointment cancelled</t>
  </si>
  <si>
    <t>Patient requested reschedule</t>
  </si>
  <si>
    <t>Follow-up needed within two weeks.</t>
  </si>
  <si>
    <t>2026-05-05T09:15:00Z</t>
  </si>
  <si>
    <t>2026-05-16T14:30:00Z</t>
  </si>
  <si>
    <t>APT-5005</t>
  </si>
  <si>
    <t>Arrived</t>
  </si>
  <si>
    <t>Orthopedics</t>
  </si>
  <si>
    <t>Arthritis Pain Management</t>
  </si>
  <si>
    <t>Vikram Singh</t>
  </si>
  <si>
    <t>AIIMS Delhi</t>
  </si>
  <si>
    <t>AIIMS Orthopedic Department</t>
  </si>
  <si>
    <t>Ansari Nagar, Delhi</t>
  </si>
  <si>
    <t>2026-05-13T11:00:00Z</t>
  </si>
  <si>
    <t>2026-05-13T11:40:00Z</t>
  </si>
  <si>
    <t>PT40M</t>
  </si>
  <si>
    <t>Follow-up for arthritis pain and mobility assessment</t>
  </si>
  <si>
    <t>Bring recent X-ray reports</t>
  </si>
  <si>
    <t>M19</t>
  </si>
  <si>
    <t>Arthritis</t>
  </si>
  <si>
    <t>APT-4505</t>
  </si>
  <si>
    <t>SLOT-510</t>
  </si>
  <si>
    <t>2026-05-13 Midday</t>
  </si>
  <si>
    <t>2026-05-13T10:45:00Z</t>
  </si>
  <si>
    <t>2026-05-11T09:30:00Z</t>
  </si>
  <si>
    <t>Partially Paid</t>
  </si>
  <si>
    <t>Physiotherapy recommended</t>
  </si>
  <si>
    <t>Patient complains of knee stiffness</t>
  </si>
  <si>
    <t>Review physiotherapy progress during next visit.</t>
  </si>
  <si>
    <t>2026-05-03T07:45:00Z</t>
  </si>
  <si>
    <t>2026-05-13T10:50:00Z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</si>
</sst>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7389-3E41-4D35-A7C1-3A119AA8CA14}">
  <dimension ref="A1:AD6"/>
  <sheetViews>
    <sheetView workbookViewId="0">
      <selection activeCell="J12" sqref="J12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s="1">
        <v>32245</v>
      </c>
      <c r="H2" t="s">
        <v>36</v>
      </c>
      <c r="I2" t="s">
        <v>37</v>
      </c>
      <c r="J2" t="s">
        <v>38</v>
      </c>
      <c r="K2" t="s">
        <v>39</v>
      </c>
      <c r="L2">
        <v>700016</v>
      </c>
      <c r="M2" t="s">
        <v>40</v>
      </c>
      <c r="N2">
        <f>91-9876543210</f>
        <v>-9876543119</v>
      </c>
      <c r="O2" t="s">
        <v>41</v>
      </c>
      <c r="P2" t="s">
        <v>42</v>
      </c>
      <c r="Q2">
        <v>175</v>
      </c>
      <c r="R2" t="s">
        <v>43</v>
      </c>
      <c r="S2">
        <v>78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f>91-9988776655</f>
        <v>-9988776564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</row>
    <row r="3" spans="1:30" x14ac:dyDescent="0.35">
      <c r="A3" t="s">
        <v>54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s="1">
        <v>33933</v>
      </c>
      <c r="H3" t="s">
        <v>60</v>
      </c>
      <c r="I3" t="s">
        <v>61</v>
      </c>
      <c r="J3" t="s">
        <v>38</v>
      </c>
      <c r="K3" t="s">
        <v>39</v>
      </c>
      <c r="L3">
        <v>700091</v>
      </c>
      <c r="M3" t="s">
        <v>40</v>
      </c>
      <c r="N3">
        <f>91-9123456780</f>
        <v>-9123456689</v>
      </c>
      <c r="O3" t="s">
        <v>62</v>
      </c>
      <c r="P3" t="s">
        <v>63</v>
      </c>
      <c r="Q3">
        <v>162</v>
      </c>
      <c r="R3" t="s">
        <v>43</v>
      </c>
      <c r="S3">
        <v>58</v>
      </c>
      <c r="T3" t="s">
        <v>44</v>
      </c>
      <c r="U3" t="s">
        <v>64</v>
      </c>
      <c r="V3" t="s">
        <v>65</v>
      </c>
      <c r="W3" t="s">
        <v>66</v>
      </c>
      <c r="X3" t="s">
        <v>67</v>
      </c>
      <c r="Y3">
        <f>91-9007006005</f>
        <v>-9007005914</v>
      </c>
      <c r="Z3" t="s">
        <v>68</v>
      </c>
      <c r="AA3" t="s">
        <v>69</v>
      </c>
      <c r="AB3" t="s">
        <v>70</v>
      </c>
      <c r="AC3" t="s">
        <v>71</v>
      </c>
      <c r="AD3" t="s">
        <v>72</v>
      </c>
    </row>
    <row r="4" spans="1:30" x14ac:dyDescent="0.35">
      <c r="A4" t="s">
        <v>73</v>
      </c>
      <c r="B4" t="s">
        <v>74</v>
      </c>
      <c r="C4" t="s">
        <v>75</v>
      </c>
      <c r="D4" t="s">
        <v>76</v>
      </c>
      <c r="E4" t="s">
        <v>77</v>
      </c>
      <c r="F4" t="s">
        <v>78</v>
      </c>
      <c r="G4" s="1">
        <v>27583</v>
      </c>
      <c r="H4" t="s">
        <v>36</v>
      </c>
      <c r="I4" t="s">
        <v>79</v>
      </c>
      <c r="J4" t="s">
        <v>80</v>
      </c>
      <c r="K4" t="s">
        <v>81</v>
      </c>
      <c r="L4">
        <v>560001</v>
      </c>
      <c r="M4" t="s">
        <v>40</v>
      </c>
      <c r="N4">
        <f>91-9345678901</f>
        <v>-9345678810</v>
      </c>
      <c r="O4" t="s">
        <v>82</v>
      </c>
      <c r="P4" t="s">
        <v>83</v>
      </c>
      <c r="Q4">
        <v>182</v>
      </c>
      <c r="R4" t="s">
        <v>43</v>
      </c>
      <c r="S4">
        <v>91</v>
      </c>
      <c r="T4" t="s">
        <v>44</v>
      </c>
      <c r="U4" t="s">
        <v>84</v>
      </c>
      <c r="V4" t="s">
        <v>85</v>
      </c>
      <c r="W4" t="s">
        <v>86</v>
      </c>
      <c r="X4" t="s">
        <v>87</v>
      </c>
      <c r="Y4">
        <f>91-9988123456</f>
        <v>-9988123365</v>
      </c>
      <c r="Z4" t="s">
        <v>88</v>
      </c>
      <c r="AA4" t="s">
        <v>89</v>
      </c>
      <c r="AB4" t="s">
        <v>90</v>
      </c>
      <c r="AC4" t="s">
        <v>91</v>
      </c>
      <c r="AD4" t="s">
        <v>92</v>
      </c>
    </row>
    <row r="5" spans="1:30" x14ac:dyDescent="0.35">
      <c r="A5" t="s">
        <v>93</v>
      </c>
      <c r="B5" t="s">
        <v>31</v>
      </c>
      <c r="C5" t="s">
        <v>94</v>
      </c>
      <c r="D5" t="s">
        <v>95</v>
      </c>
      <c r="E5" t="s">
        <v>96</v>
      </c>
      <c r="F5" t="s">
        <v>97</v>
      </c>
      <c r="G5" s="1">
        <v>36967</v>
      </c>
      <c r="H5" t="s">
        <v>60</v>
      </c>
      <c r="I5" t="s">
        <v>98</v>
      </c>
      <c r="J5" t="s">
        <v>99</v>
      </c>
      <c r="K5" t="s">
        <v>100</v>
      </c>
      <c r="L5">
        <v>400001</v>
      </c>
      <c r="M5" t="s">
        <v>40</v>
      </c>
      <c r="N5">
        <f>91-9870011223</f>
        <v>-9870011132</v>
      </c>
      <c r="O5" t="s">
        <v>101</v>
      </c>
      <c r="P5" t="s">
        <v>102</v>
      </c>
      <c r="Q5">
        <v>168</v>
      </c>
      <c r="R5" t="s">
        <v>43</v>
      </c>
      <c r="S5">
        <v>54</v>
      </c>
      <c r="T5" t="s">
        <v>44</v>
      </c>
      <c r="U5" t="s">
        <v>103</v>
      </c>
      <c r="V5" t="s">
        <v>104</v>
      </c>
      <c r="W5" t="s">
        <v>105</v>
      </c>
      <c r="X5" t="s">
        <v>106</v>
      </c>
      <c r="Y5">
        <f>91-9811002233</f>
        <v>-9811002142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</row>
    <row r="6" spans="1:30" x14ac:dyDescent="0.35">
      <c r="A6" t="s">
        <v>112</v>
      </c>
      <c r="B6" t="s">
        <v>55</v>
      </c>
      <c r="C6" t="s">
        <v>113</v>
      </c>
      <c r="D6" t="s">
        <v>114</v>
      </c>
      <c r="E6" t="s">
        <v>115</v>
      </c>
      <c r="F6" t="s">
        <v>116</v>
      </c>
      <c r="G6" s="1">
        <v>25202</v>
      </c>
      <c r="H6" t="s">
        <v>36</v>
      </c>
      <c r="I6" t="s">
        <v>117</v>
      </c>
      <c r="J6" t="s">
        <v>118</v>
      </c>
      <c r="K6" t="s">
        <v>118</v>
      </c>
      <c r="L6">
        <v>110001</v>
      </c>
      <c r="M6" t="s">
        <v>40</v>
      </c>
      <c r="N6">
        <f>91-9012345678</f>
        <v>-9012345587</v>
      </c>
      <c r="O6" t="s">
        <v>119</v>
      </c>
      <c r="P6" t="s">
        <v>120</v>
      </c>
      <c r="Q6">
        <v>172</v>
      </c>
      <c r="R6" t="s">
        <v>43</v>
      </c>
      <c r="S6">
        <v>84</v>
      </c>
      <c r="T6" t="s">
        <v>44</v>
      </c>
      <c r="U6" t="s">
        <v>121</v>
      </c>
      <c r="V6" t="s">
        <v>122</v>
      </c>
      <c r="W6" t="s">
        <v>123</v>
      </c>
      <c r="X6" t="s">
        <v>124</v>
      </c>
      <c r="Y6">
        <f>91-9090909090</f>
        <v>-9090908999</v>
      </c>
      <c r="Z6" t="s">
        <v>125</v>
      </c>
      <c r="AA6" t="s">
        <v>126</v>
      </c>
      <c r="AB6" t="s">
        <v>127</v>
      </c>
      <c r="AC6" t="s">
        <v>128</v>
      </c>
      <c r="AD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DF48-5CB5-431F-98B2-5BF0489E288D}">
  <dimension ref="A1:AX6"/>
  <sheetViews>
    <sheetView tabSelected="1" workbookViewId="0">
      <selection activeCell="C13" sqref="C13"/>
    </sheetView>
  </sheetViews>
  <sheetFormatPr defaultRowHeight="14.5" x14ac:dyDescent="0.35"/>
  <cols>
    <col min="1" max="1" width="13.453125" bestFit="1" customWidth="1"/>
    <col min="2" max="2" width="23.6328125" bestFit="1" customWidth="1"/>
    <col min="3" max="3" width="24.453125" bestFit="1" customWidth="1"/>
    <col min="4" max="4" width="15.453125" bestFit="1" customWidth="1"/>
    <col min="5" max="5" width="9.81640625" bestFit="1" customWidth="1"/>
    <col min="6" max="6" width="17.36328125" bestFit="1" customWidth="1"/>
    <col min="7" max="7" width="14.54296875" bestFit="1" customWidth="1"/>
    <col min="8" max="8" width="26.453125" bestFit="1" customWidth="1"/>
    <col min="9" max="9" width="11.08984375" bestFit="1" customWidth="1"/>
    <col min="10" max="10" width="8.81640625" bestFit="1" customWidth="1"/>
    <col min="11" max="11" width="14.7265625" bestFit="1" customWidth="1"/>
    <col min="12" max="12" width="12.36328125" bestFit="1" customWidth="1"/>
    <col min="13" max="13" width="27.7265625" bestFit="1" customWidth="1"/>
    <col min="14" max="14" width="15.7265625" bestFit="1" customWidth="1"/>
    <col min="15" max="15" width="18.54296875" bestFit="1" customWidth="1"/>
    <col min="16" max="16" width="16.1796875" bestFit="1" customWidth="1"/>
    <col min="17" max="17" width="29.453125" bestFit="1" customWidth="1"/>
    <col min="18" max="18" width="25.54296875" bestFit="1" customWidth="1"/>
    <col min="19" max="20" width="19.1796875" bestFit="1" customWidth="1"/>
    <col min="21" max="21" width="7.54296875" bestFit="1" customWidth="1"/>
    <col min="22" max="22" width="15" bestFit="1" customWidth="1"/>
    <col min="23" max="23" width="16.54296875" bestFit="1" customWidth="1"/>
    <col min="24" max="24" width="38.08984375" bestFit="1" customWidth="1"/>
    <col min="25" max="25" width="6.453125" bestFit="1" customWidth="1"/>
    <col min="26" max="26" width="47.54296875" bestFit="1" customWidth="1"/>
    <col min="27" max="27" width="42.90625" bestFit="1" customWidth="1"/>
    <col min="28" max="28" width="11.1796875" bestFit="1" customWidth="1"/>
    <col min="29" max="29" width="14.81640625" bestFit="1" customWidth="1"/>
    <col min="30" max="30" width="21.26953125" bestFit="1" customWidth="1"/>
    <col min="31" max="31" width="8.6328125" bestFit="1" customWidth="1"/>
    <col min="32" max="32" width="18.54296875" bestFit="1" customWidth="1"/>
    <col min="33" max="34" width="19.1796875" bestFit="1" customWidth="1"/>
    <col min="35" max="35" width="8.6328125" bestFit="1" customWidth="1"/>
    <col min="36" max="37" width="19.1796875" bestFit="1" customWidth="1"/>
    <col min="38" max="38" width="17.1796875" bestFit="1" customWidth="1"/>
    <col min="39" max="39" width="15.6328125" bestFit="1" customWidth="1"/>
    <col min="40" max="40" width="12.6328125" bestFit="1" customWidth="1"/>
    <col min="41" max="41" width="7.90625" bestFit="1" customWidth="1"/>
    <col min="42" max="42" width="13.453125" bestFit="1" customWidth="1"/>
    <col min="43" max="43" width="13.81640625" bestFit="1" customWidth="1"/>
    <col min="44" max="44" width="16" bestFit="1" customWidth="1"/>
    <col min="45" max="45" width="19.6328125" bestFit="1" customWidth="1"/>
    <col min="46" max="46" width="24.81640625" bestFit="1" customWidth="1"/>
    <col min="47" max="47" width="31.6328125" bestFit="1" customWidth="1"/>
    <col min="48" max="48" width="43.36328125" bestFit="1" customWidth="1"/>
    <col min="49" max="50" width="19.1796875" bestFit="1" customWidth="1"/>
  </cols>
  <sheetData>
    <row r="1" spans="1:50" x14ac:dyDescent="0.35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0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  <c r="AA1" t="s">
        <v>155</v>
      </c>
      <c r="AB1" t="s">
        <v>156</v>
      </c>
      <c r="AC1" t="s">
        <v>157</v>
      </c>
      <c r="AD1" t="s">
        <v>158</v>
      </c>
      <c r="AE1" t="s">
        <v>159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165</v>
      </c>
      <c r="AL1" t="s">
        <v>166</v>
      </c>
      <c r="AM1" t="s">
        <v>167</v>
      </c>
      <c r="AN1" t="s">
        <v>168</v>
      </c>
      <c r="AO1" t="s">
        <v>169</v>
      </c>
      <c r="AP1" t="s">
        <v>170</v>
      </c>
      <c r="AQ1" t="s">
        <v>171</v>
      </c>
      <c r="AR1" t="s">
        <v>172</v>
      </c>
      <c r="AS1" t="s">
        <v>173</v>
      </c>
      <c r="AT1" t="s">
        <v>174</v>
      </c>
      <c r="AU1" t="s">
        <v>175</v>
      </c>
      <c r="AV1" t="s">
        <v>176</v>
      </c>
      <c r="AW1" t="s">
        <v>28</v>
      </c>
      <c r="AX1" t="s">
        <v>29</v>
      </c>
    </row>
    <row r="2" spans="1:50" x14ac:dyDescent="0.35">
      <c r="A2" t="s">
        <v>177</v>
      </c>
      <c r="B2" t="s">
        <v>178</v>
      </c>
      <c r="C2" t="s">
        <v>177</v>
      </c>
      <c r="D2" t="s">
        <v>179</v>
      </c>
      <c r="E2" t="s">
        <v>180</v>
      </c>
      <c r="G2" t="s">
        <v>181</v>
      </c>
      <c r="H2" t="s">
        <v>182</v>
      </c>
      <c r="I2" t="s">
        <v>181</v>
      </c>
      <c r="J2" t="s">
        <v>30</v>
      </c>
      <c r="K2" t="s">
        <v>183</v>
      </c>
      <c r="L2">
        <f>91-9876543210</f>
        <v>-9876543119</v>
      </c>
      <c r="M2" t="s">
        <v>41</v>
      </c>
      <c r="N2" t="s">
        <v>51</v>
      </c>
      <c r="O2" t="s">
        <v>181</v>
      </c>
      <c r="P2" t="s">
        <v>184</v>
      </c>
      <c r="Q2" t="s">
        <v>185</v>
      </c>
      <c r="R2" t="s">
        <v>186</v>
      </c>
      <c r="S2" t="s">
        <v>187</v>
      </c>
      <c r="T2" t="s">
        <v>188</v>
      </c>
      <c r="U2" t="s">
        <v>189</v>
      </c>
      <c r="V2">
        <v>30</v>
      </c>
      <c r="W2" t="s">
        <v>190</v>
      </c>
      <c r="Y2">
        <v>5</v>
      </c>
      <c r="Z2" t="s">
        <v>191</v>
      </c>
      <c r="AA2" t="s">
        <v>192</v>
      </c>
      <c r="AB2" t="s">
        <v>193</v>
      </c>
      <c r="AC2" t="s">
        <v>194</v>
      </c>
      <c r="AD2" t="s">
        <v>195</v>
      </c>
      <c r="AE2" t="s">
        <v>196</v>
      </c>
      <c r="AF2" t="s">
        <v>197</v>
      </c>
      <c r="AG2" t="s">
        <v>198</v>
      </c>
      <c r="AH2" t="s">
        <v>199</v>
      </c>
      <c r="AI2" t="s">
        <v>200</v>
      </c>
      <c r="AJ2" t="b">
        <v>1</v>
      </c>
      <c r="AK2" t="s">
        <v>201</v>
      </c>
      <c r="AL2" t="s">
        <v>202</v>
      </c>
      <c r="AM2" t="b">
        <v>1</v>
      </c>
      <c r="AN2">
        <v>500</v>
      </c>
      <c r="AO2" t="s">
        <v>203</v>
      </c>
      <c r="AP2">
        <v>2500</v>
      </c>
      <c r="AQ2" t="s">
        <v>204</v>
      </c>
      <c r="AR2" t="b">
        <v>1</v>
      </c>
      <c r="AS2" s="1">
        <v>46254</v>
      </c>
      <c r="AT2" t="s">
        <v>205</v>
      </c>
      <c r="AU2" t="s">
        <v>206</v>
      </c>
      <c r="AV2" t="s">
        <v>207</v>
      </c>
      <c r="AW2" t="s">
        <v>208</v>
      </c>
      <c r="AX2" t="s">
        <v>53</v>
      </c>
    </row>
    <row r="3" spans="1:50" x14ac:dyDescent="0.35">
      <c r="A3" t="s">
        <v>209</v>
      </c>
      <c r="B3" t="s">
        <v>178</v>
      </c>
      <c r="C3" t="s">
        <v>209</v>
      </c>
      <c r="D3" t="s">
        <v>210</v>
      </c>
      <c r="E3" t="s">
        <v>211</v>
      </c>
      <c r="G3" t="s">
        <v>212</v>
      </c>
      <c r="H3" t="s">
        <v>213</v>
      </c>
      <c r="I3" t="s">
        <v>212</v>
      </c>
      <c r="J3" t="s">
        <v>54</v>
      </c>
      <c r="K3" t="s">
        <v>214</v>
      </c>
      <c r="L3">
        <f>91-9123456780</f>
        <v>-9123456689</v>
      </c>
      <c r="M3" t="s">
        <v>62</v>
      </c>
      <c r="N3" t="s">
        <v>70</v>
      </c>
      <c r="O3" t="s">
        <v>212</v>
      </c>
      <c r="P3" t="s">
        <v>215</v>
      </c>
      <c r="Q3" t="s">
        <v>216</v>
      </c>
      <c r="R3" t="s">
        <v>217</v>
      </c>
      <c r="S3" t="s">
        <v>218</v>
      </c>
      <c r="T3" t="s">
        <v>219</v>
      </c>
      <c r="U3" t="s">
        <v>220</v>
      </c>
      <c r="V3">
        <v>20</v>
      </c>
      <c r="W3" t="s">
        <v>221</v>
      </c>
      <c r="X3" t="s">
        <v>222</v>
      </c>
      <c r="Y3">
        <v>3</v>
      </c>
      <c r="Z3" t="s">
        <v>223</v>
      </c>
      <c r="AA3" t="s">
        <v>224</v>
      </c>
      <c r="AB3" t="s">
        <v>225</v>
      </c>
      <c r="AC3" t="s">
        <v>64</v>
      </c>
      <c r="AD3" t="s">
        <v>226</v>
      </c>
      <c r="AE3" t="s">
        <v>227</v>
      </c>
      <c r="AF3" t="s">
        <v>228</v>
      </c>
      <c r="AG3" t="s">
        <v>229</v>
      </c>
      <c r="AH3" t="s">
        <v>230</v>
      </c>
      <c r="AI3" t="s">
        <v>231</v>
      </c>
      <c r="AJ3" t="b">
        <v>1</v>
      </c>
      <c r="AK3" t="s">
        <v>232</v>
      </c>
      <c r="AL3" t="s">
        <v>202</v>
      </c>
      <c r="AM3" t="b">
        <v>1</v>
      </c>
      <c r="AN3">
        <v>300</v>
      </c>
      <c r="AO3" t="s">
        <v>203</v>
      </c>
      <c r="AP3">
        <v>1200</v>
      </c>
      <c r="AQ3" t="s">
        <v>233</v>
      </c>
      <c r="AR3" t="b">
        <v>0</v>
      </c>
      <c r="AT3" t="s">
        <v>234</v>
      </c>
      <c r="AU3" t="s">
        <v>235</v>
      </c>
      <c r="AV3" t="s">
        <v>236</v>
      </c>
      <c r="AW3" t="s">
        <v>237</v>
      </c>
      <c r="AX3" t="s">
        <v>72</v>
      </c>
    </row>
    <row r="4" spans="1:50" x14ac:dyDescent="0.35">
      <c r="A4" t="s">
        <v>238</v>
      </c>
      <c r="B4" t="s">
        <v>178</v>
      </c>
      <c r="C4" t="s">
        <v>238</v>
      </c>
      <c r="D4" t="s">
        <v>239</v>
      </c>
      <c r="E4" t="s">
        <v>240</v>
      </c>
      <c r="G4" t="s">
        <v>181</v>
      </c>
      <c r="H4" t="s">
        <v>241</v>
      </c>
      <c r="I4" t="s">
        <v>181</v>
      </c>
      <c r="J4" t="s">
        <v>73</v>
      </c>
      <c r="K4" t="s">
        <v>242</v>
      </c>
      <c r="L4">
        <f>91-9345678901</f>
        <v>-9345678810</v>
      </c>
      <c r="M4" t="s">
        <v>82</v>
      </c>
      <c r="N4" t="s">
        <v>90</v>
      </c>
      <c r="O4" t="s">
        <v>181</v>
      </c>
      <c r="P4" t="s">
        <v>243</v>
      </c>
      <c r="Q4" t="s">
        <v>244</v>
      </c>
      <c r="R4" t="s">
        <v>245</v>
      </c>
      <c r="S4" t="s">
        <v>246</v>
      </c>
      <c r="T4" t="s">
        <v>247</v>
      </c>
      <c r="U4" t="s">
        <v>248</v>
      </c>
      <c r="V4">
        <v>45</v>
      </c>
      <c r="W4" t="s">
        <v>190</v>
      </c>
      <c r="Y4">
        <v>7</v>
      </c>
      <c r="Z4" t="s">
        <v>249</v>
      </c>
      <c r="AA4" t="s">
        <v>250</v>
      </c>
      <c r="AB4" t="s">
        <v>251</v>
      </c>
      <c r="AC4" t="s">
        <v>252</v>
      </c>
      <c r="AD4" t="s">
        <v>253</v>
      </c>
      <c r="AE4" t="s">
        <v>254</v>
      </c>
      <c r="AF4" t="s">
        <v>255</v>
      </c>
      <c r="AG4" t="s">
        <v>256</v>
      </c>
      <c r="AI4" t="s">
        <v>257</v>
      </c>
      <c r="AJ4" t="b">
        <v>1</v>
      </c>
      <c r="AK4" t="s">
        <v>258</v>
      </c>
      <c r="AL4" t="s">
        <v>202</v>
      </c>
      <c r="AM4" t="b">
        <v>1</v>
      </c>
      <c r="AN4">
        <v>800</v>
      </c>
      <c r="AO4" t="s">
        <v>203</v>
      </c>
      <c r="AP4">
        <v>5000</v>
      </c>
      <c r="AQ4" t="s">
        <v>204</v>
      </c>
      <c r="AR4" t="b">
        <v>1</v>
      </c>
      <c r="AS4" s="1">
        <v>46187</v>
      </c>
      <c r="AT4" t="s">
        <v>259</v>
      </c>
      <c r="AU4" t="s">
        <v>260</v>
      </c>
      <c r="AV4" t="s">
        <v>261</v>
      </c>
      <c r="AW4" t="s">
        <v>262</v>
      </c>
      <c r="AX4" t="s">
        <v>263</v>
      </c>
    </row>
    <row r="5" spans="1:50" x14ac:dyDescent="0.35">
      <c r="A5" t="s">
        <v>264</v>
      </c>
      <c r="B5" t="s">
        <v>178</v>
      </c>
      <c r="C5" t="s">
        <v>264</v>
      </c>
      <c r="D5" t="s">
        <v>265</v>
      </c>
      <c r="E5" t="s">
        <v>266</v>
      </c>
      <c r="F5" t="s">
        <v>267</v>
      </c>
      <c r="G5" t="s">
        <v>268</v>
      </c>
      <c r="H5" t="s">
        <v>269</v>
      </c>
      <c r="I5" t="s">
        <v>268</v>
      </c>
      <c r="J5" t="s">
        <v>93</v>
      </c>
      <c r="K5" t="s">
        <v>270</v>
      </c>
      <c r="L5">
        <f>91-9870011223</f>
        <v>-9870011132</v>
      </c>
      <c r="M5" t="s">
        <v>101</v>
      </c>
      <c r="N5" t="s">
        <v>109</v>
      </c>
      <c r="O5" t="s">
        <v>268</v>
      </c>
      <c r="P5" t="s">
        <v>271</v>
      </c>
      <c r="Q5" t="s">
        <v>272</v>
      </c>
      <c r="R5" t="s">
        <v>273</v>
      </c>
      <c r="S5" t="s">
        <v>274</v>
      </c>
      <c r="T5" t="s">
        <v>275</v>
      </c>
      <c r="U5" t="s">
        <v>248</v>
      </c>
      <c r="V5">
        <v>45</v>
      </c>
      <c r="W5" t="s">
        <v>276</v>
      </c>
      <c r="Y5">
        <v>4</v>
      </c>
      <c r="Z5" t="s">
        <v>277</v>
      </c>
      <c r="AA5" t="s">
        <v>278</v>
      </c>
      <c r="AB5" t="s">
        <v>279</v>
      </c>
      <c r="AC5" t="s">
        <v>280</v>
      </c>
      <c r="AD5" t="s">
        <v>281</v>
      </c>
      <c r="AE5" t="s">
        <v>282</v>
      </c>
      <c r="AF5" t="s">
        <v>283</v>
      </c>
      <c r="AI5" t="b">
        <v>0</v>
      </c>
      <c r="AJ5" t="s">
        <v>284</v>
      </c>
      <c r="AK5" t="s">
        <v>266</v>
      </c>
      <c r="AL5" t="b">
        <v>0</v>
      </c>
      <c r="AM5">
        <v>0</v>
      </c>
      <c r="AN5" t="s">
        <v>203</v>
      </c>
      <c r="AO5">
        <v>1500</v>
      </c>
      <c r="AP5" t="s">
        <v>285</v>
      </c>
      <c r="AQ5" t="b">
        <v>1</v>
      </c>
      <c r="AR5" s="1">
        <v>46172</v>
      </c>
      <c r="AS5" t="s">
        <v>286</v>
      </c>
      <c r="AT5" t="s">
        <v>287</v>
      </c>
      <c r="AU5" t="s">
        <v>288</v>
      </c>
      <c r="AV5" t="s">
        <v>289</v>
      </c>
      <c r="AW5" t="s">
        <v>290</v>
      </c>
    </row>
    <row r="6" spans="1:50" x14ac:dyDescent="0.35">
      <c r="A6" t="s">
        <v>291</v>
      </c>
      <c r="B6" t="s">
        <v>178</v>
      </c>
      <c r="C6" t="s">
        <v>291</v>
      </c>
      <c r="D6" t="s">
        <v>179</v>
      </c>
      <c r="E6" t="s">
        <v>292</v>
      </c>
      <c r="G6" t="s">
        <v>293</v>
      </c>
      <c r="H6" t="s">
        <v>294</v>
      </c>
      <c r="I6" t="s">
        <v>293</v>
      </c>
      <c r="J6" t="s">
        <v>112</v>
      </c>
      <c r="K6" t="s">
        <v>295</v>
      </c>
      <c r="L6">
        <f>91-9012345678</f>
        <v>-9012345587</v>
      </c>
      <c r="M6" t="s">
        <v>119</v>
      </c>
      <c r="N6" t="s">
        <v>127</v>
      </c>
      <c r="O6" t="s">
        <v>293</v>
      </c>
      <c r="P6" t="s">
        <v>296</v>
      </c>
      <c r="Q6" t="s">
        <v>297</v>
      </c>
      <c r="R6" t="s">
        <v>298</v>
      </c>
      <c r="S6" t="s">
        <v>299</v>
      </c>
      <c r="T6" t="s">
        <v>300</v>
      </c>
      <c r="U6" t="s">
        <v>301</v>
      </c>
      <c r="V6">
        <v>40</v>
      </c>
      <c r="W6" t="s">
        <v>190</v>
      </c>
      <c r="Y6">
        <v>6</v>
      </c>
      <c r="Z6" t="s">
        <v>302</v>
      </c>
      <c r="AA6" t="s">
        <v>303</v>
      </c>
      <c r="AB6" t="s">
        <v>304</v>
      </c>
      <c r="AC6" t="s">
        <v>305</v>
      </c>
      <c r="AD6" t="s">
        <v>306</v>
      </c>
      <c r="AE6" t="s">
        <v>307</v>
      </c>
      <c r="AF6" t="s">
        <v>308</v>
      </c>
      <c r="AG6" t="s">
        <v>309</v>
      </c>
      <c r="AI6" t="s">
        <v>220</v>
      </c>
      <c r="AJ6" t="b">
        <v>1</v>
      </c>
      <c r="AK6" t="s">
        <v>310</v>
      </c>
      <c r="AL6" t="s">
        <v>202</v>
      </c>
      <c r="AM6" t="b">
        <v>1</v>
      </c>
      <c r="AN6">
        <v>600</v>
      </c>
      <c r="AO6" t="s">
        <v>203</v>
      </c>
      <c r="AP6">
        <v>3200</v>
      </c>
      <c r="AQ6" t="s">
        <v>311</v>
      </c>
      <c r="AR6" t="b">
        <v>1</v>
      </c>
      <c r="AS6" s="1">
        <v>46216</v>
      </c>
      <c r="AT6" t="s">
        <v>312</v>
      </c>
      <c r="AU6" t="s">
        <v>313</v>
      </c>
      <c r="AV6" t="s">
        <v>314</v>
      </c>
      <c r="AW6" t="s">
        <v>315</v>
      </c>
      <c r="AX6" t="s">
        <v>316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00415B4C5A41BBF1647C81F4C764" ma:contentTypeVersion="13" ma:contentTypeDescription="Create a new document." ma:contentTypeScope="" ma:versionID="b0e48f76af31a2ef31d4947859fc73b9">
  <xsd:schema xmlns:xsd="http://www.w3.org/2001/XMLSchema" xmlns:xs="http://www.w3.org/2001/XMLSchema" xmlns:p="http://schemas.microsoft.com/office/2006/metadata/properties" xmlns:ns3="2ca40839-9fc1-4d33-877c-77ee7715d25f" targetNamespace="http://schemas.microsoft.com/office/2006/metadata/properties" ma:root="true" ma:fieldsID="d651fa98704564a492b64ffb2c224552" ns3:_="">
    <xsd:import namespace="2ca40839-9fc1-4d33-877c-77ee7715d2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40839-9fc1-4d33-877c-77ee7715d2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a40839-9fc1-4d33-877c-77ee7715d25f" xsi:nil="true"/>
  </documentManagement>
</p:properties>
</file>

<file path=customXml/itemProps1.xml><?xml version="1.0" encoding="utf-8"?>
<ds:datastoreItem xmlns:ds="http://schemas.openxmlformats.org/officeDocument/2006/customXml" ds:itemID="{8E9ABC0D-655B-46E4-AA92-CCCCBC4F46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40839-9fc1-4d33-877c-77ee7715d2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68BEFA-0832-4185-8034-015977AA50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CDD7D3-96A8-43DD-B3D4-C5DB93078702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2ca40839-9fc1-4d33-877c-77ee7715d25f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patient_schema</vt:lpstr>
      <vt:lpstr>Appointment_schema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 Bose</dc:creator>
  <cp:lastModifiedBy>Sandip Bose</cp:lastModifiedBy>
  <dcterms:created xsi:type="dcterms:W3CDTF">2026-05-13T10:10:47Z</dcterms:created>
  <dcterms:modified xsi:type="dcterms:W3CDTF">2026-05-13T10:28:44Z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0x0101000F7400415B4C5A41BBF1647C81F4C764</vt:lpwstr>
  </property>
</Properties>
</file>